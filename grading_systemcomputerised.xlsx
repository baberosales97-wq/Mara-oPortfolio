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d8b9a0757b07ecf7/Documents/HTML PROJECTS/Maranio Platform Activities/"/>
    </mc:Choice>
  </mc:AlternateContent>
  <bookViews>
    <workbookView xWindow="0" yWindow="0" windowWidth="20490" windowHeight="7500" activeTab="1"/>
  </bookViews>
  <sheets>
    <sheet name="Grading System" sheetId="1" r:id="rId1"/>
    <sheet name="Quiz" sheetId="4" r:id="rId2"/>
    <sheet name="Answer Key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8" i="3"/>
  <c r="G4" i="3"/>
  <c r="G5" i="3"/>
  <c r="G17" i="3"/>
  <c r="G14" i="3"/>
  <c r="G11" i="3"/>
  <c r="G7" i="3"/>
  <c r="G6" i="3"/>
  <c r="G8" i="3"/>
  <c r="G9" i="3"/>
  <c r="G10" i="3"/>
  <c r="G12" i="3"/>
  <c r="G13" i="3"/>
  <c r="G15" i="3"/>
  <c r="G16" i="3"/>
  <c r="G18" i="3"/>
  <c r="G19" i="3"/>
  <c r="G20" i="3"/>
  <c r="G21" i="3"/>
  <c r="G22" i="3"/>
  <c r="G23" i="3"/>
  <c r="F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5" i="3"/>
  <c r="F4" i="3"/>
  <c r="A2" i="3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  <c r="G2" i="3" l="1"/>
  <c r="I2" i="3" s="1"/>
</calcChain>
</file>

<file path=xl/sharedStrings.xml><?xml version="1.0" encoding="utf-8"?>
<sst xmlns="http://schemas.openxmlformats.org/spreadsheetml/2006/main" count="235" uniqueCount="121">
  <si>
    <t>STUDENT NAME</t>
  </si>
  <si>
    <t>QUIZ 1</t>
  </si>
  <si>
    <t>QUIZ 2</t>
  </si>
  <si>
    <t>ASSIGNMENT</t>
  </si>
  <si>
    <t>EXAM</t>
  </si>
  <si>
    <t>TOTAL</t>
  </si>
  <si>
    <t>AVERAGE</t>
  </si>
  <si>
    <t>REMARKS</t>
  </si>
  <si>
    <t>Juan Dela Cruz</t>
  </si>
  <si>
    <t>Maria Santos</t>
  </si>
  <si>
    <t>Pedro Reyes</t>
  </si>
  <si>
    <t>Ana Lopez</t>
  </si>
  <si>
    <t>Mark Cruz</t>
  </si>
  <si>
    <t>Liza Ramos</t>
  </si>
  <si>
    <t>Carlo Diaz</t>
  </si>
  <si>
    <t>Jenny Flores</t>
  </si>
  <si>
    <t>Paolo Garcia</t>
  </si>
  <si>
    <t>Nina Torres</t>
  </si>
  <si>
    <t>FOOD TRIVIA QUIZ</t>
  </si>
  <si>
    <t>What was the first food grown in space?</t>
  </si>
  <si>
    <t>Spring onions</t>
  </si>
  <si>
    <t>Carrots</t>
  </si>
  <si>
    <t>What is the most popular flavor of ice cream worldwide?</t>
  </si>
  <si>
    <t>What is the most widely consumed meat?</t>
  </si>
  <si>
    <t>John Cadbury</t>
  </si>
  <si>
    <t>Chocolate</t>
  </si>
  <si>
    <t>Strawberry</t>
  </si>
  <si>
    <t>Vanilla</t>
  </si>
  <si>
    <t>Mint</t>
  </si>
  <si>
    <t>Mango</t>
  </si>
  <si>
    <t>Avocado</t>
  </si>
  <si>
    <t>Papaya</t>
  </si>
  <si>
    <t>Guava</t>
  </si>
  <si>
    <t>Chicken</t>
  </si>
  <si>
    <t>Pork</t>
  </si>
  <si>
    <t>Beef</t>
  </si>
  <si>
    <t>Lamb</t>
  </si>
  <si>
    <t>Which country is ranked first in potato production?</t>
  </si>
  <si>
    <t>What year was the chocolate chip cookie invented?</t>
  </si>
  <si>
    <t>What type of gas is dissolved in water to make fizzy water, or seltzer?</t>
  </si>
  <si>
    <t>Question</t>
  </si>
  <si>
    <t>Option A</t>
  </si>
  <si>
    <t>Option B</t>
  </si>
  <si>
    <t>Option C</t>
  </si>
  <si>
    <t>Option D</t>
  </si>
  <si>
    <t>Potatoes</t>
  </si>
  <si>
    <t>Lettuce</t>
  </si>
  <si>
    <t>Who are Reese's Cups named after?</t>
  </si>
  <si>
    <t>Milton Hershey</t>
  </si>
  <si>
    <t>Harry Burnett Reese</t>
  </si>
  <si>
    <t>Frank Mars</t>
  </si>
  <si>
    <t>Which fruit is sometimes referred to as the 'alligator pear'?</t>
  </si>
  <si>
    <t>In which country was Hawaiian pizza actually invented?</t>
  </si>
  <si>
    <t>USA</t>
  </si>
  <si>
    <t>Italy</t>
  </si>
  <si>
    <t>Canada</t>
  </si>
  <si>
    <t>Australia</t>
  </si>
  <si>
    <t>India</t>
  </si>
  <si>
    <t>Russia</t>
  </si>
  <si>
    <t>China</t>
  </si>
  <si>
    <t>1925</t>
  </si>
  <si>
    <t>1938</t>
  </si>
  <si>
    <t>1945</t>
  </si>
  <si>
    <t>1952</t>
  </si>
  <si>
    <t>Oxygen</t>
  </si>
  <si>
    <t>Nitrogen</t>
  </si>
  <si>
    <t>Carbon Dioxide</t>
  </si>
  <si>
    <t>Hydrogen</t>
  </si>
  <si>
    <t>Which leafy salad green is a member of the sunflower family?</t>
  </si>
  <si>
    <t>Spinach</t>
  </si>
  <si>
    <t>Kale</t>
  </si>
  <si>
    <t>Arugula</t>
  </si>
  <si>
    <t>What fruit is dried to make raisins?</t>
  </si>
  <si>
    <t>Apples</t>
  </si>
  <si>
    <t>Grapes</t>
  </si>
  <si>
    <t>Plums</t>
  </si>
  <si>
    <t>Berries</t>
  </si>
  <si>
    <t>What are the two main ingredients in eggnog?</t>
  </si>
  <si>
    <t>Cream and sugar</t>
  </si>
  <si>
    <t>Eggs and butter</t>
  </si>
  <si>
    <t>Raw eggs and milk</t>
  </si>
  <si>
    <t>Milk and chocolate</t>
  </si>
  <si>
    <t>What type of cookie is used to make decorated houses at Christmas?</t>
  </si>
  <si>
    <t>Sugar cookies</t>
  </si>
  <si>
    <t>Shortbread</t>
  </si>
  <si>
    <t>Gingerbread</t>
  </si>
  <si>
    <t>Oatmeal</t>
  </si>
  <si>
    <t>What is the base ingredient of gummy bears?</t>
  </si>
  <si>
    <t>Sugar</t>
  </si>
  <si>
    <t>Gelatin</t>
  </si>
  <si>
    <t>Corn syrup</t>
  </si>
  <si>
    <t>Fruit juice</t>
  </si>
  <si>
    <t>Which fruit is known as the 'king of fruits' and has a strong smell?</t>
  </si>
  <si>
    <t>Jackfruit</t>
  </si>
  <si>
    <t>Durian</t>
  </si>
  <si>
    <t>Pineapple</t>
  </si>
  <si>
    <t>What's the most stolen grocery item?</t>
  </si>
  <si>
    <t>Meat</t>
  </si>
  <si>
    <t>Cheese</t>
  </si>
  <si>
    <t>Coffee</t>
  </si>
  <si>
    <t>Arachibutyrophobia is the fear of what sticking to the roof of your mouth?</t>
  </si>
  <si>
    <t>Caramel</t>
  </si>
  <si>
    <t>Marshmallow</t>
  </si>
  <si>
    <t>Peanut butter</t>
  </si>
  <si>
    <t>Which country drinks the most coffee per year (per person)?</t>
  </si>
  <si>
    <t>Brazil</t>
  </si>
  <si>
    <t>Finland</t>
  </si>
  <si>
    <t>Which chocolate bar is the global bestseller?</t>
  </si>
  <si>
    <t>KitKat</t>
  </si>
  <si>
    <t>Mars</t>
  </si>
  <si>
    <t>Snickers</t>
  </si>
  <si>
    <t>Toblerone</t>
  </si>
  <si>
    <t>How many tablespoons are in a cup?</t>
  </si>
  <si>
    <t>8</t>
  </si>
  <si>
    <t>12</t>
  </si>
  <si>
    <t>16</t>
  </si>
  <si>
    <t>20</t>
  </si>
  <si>
    <t>Answer</t>
  </si>
  <si>
    <t xml:space="preserve">NAME: </t>
  </si>
  <si>
    <t>SCORE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</si>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</sst>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;;;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7" borderId="4" xfId="0" applyFill="1" applyBorder="1" applyAlignment="1">
      <alignment wrapText="1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/>
    <xf numFmtId="165" fontId="0" fillId="0" borderId="0" xfId="0" applyNumberFormat="1"/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4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9" fontId="3" fillId="7" borderId="0" xfId="1" applyFont="1" applyFill="1" applyAlignment="1">
      <alignment horizontal="center"/>
    </xf>
    <xf numFmtId="0" fontId="1" fillId="0" borderId="4" xfId="0" applyFont="1" applyBorder="1"/>
  </cellXfs>
  <cellStyles count="2">
    <cellStyle name="Normal" xfId="0" builtinId="0"/>
    <cellStyle name="Percent" xfId="1" builtinId="5"/>
  </cellStyles>
  <dxfs count="2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3" sqref="F3"/>
    </sheetView>
  </sheetViews>
  <sheetFormatPr defaultColWidth="9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85</v>
      </c>
      <c r="C2">
        <v>90</v>
      </c>
      <c r="D2">
        <v>88</v>
      </c>
      <c r="E2">
        <v>92</v>
      </c>
      <c r="F2">
        <f>SUM(B2:E2)</f>
        <v>355</v>
      </c>
      <c r="G2">
        <f>AVERAGE(B2:E2)</f>
        <v>88.75</v>
      </c>
      <c r="H2" s="1" t="str">
        <f>IF(G2&gt;=75,"Passed","Failed")</f>
        <v>Passed</v>
      </c>
    </row>
    <row r="3" spans="1:8">
      <c r="A3" t="s">
        <v>9</v>
      </c>
      <c r="B3">
        <v>78</v>
      </c>
      <c r="C3">
        <v>80</v>
      </c>
      <c r="D3">
        <v>79</v>
      </c>
      <c r="E3">
        <v>85</v>
      </c>
      <c r="F3">
        <f t="shared" ref="F3:F11" si="0">SUM(B3:E3)</f>
        <v>322</v>
      </c>
      <c r="G3">
        <f t="shared" ref="G3:G11" si="1">AVERAGE(B3:E3)</f>
        <v>80.5</v>
      </c>
      <c r="H3" s="1" t="str">
        <f t="shared" ref="H3:H11" si="2">IF(G3&gt;=75,"Passed","Failed")</f>
        <v>Passed</v>
      </c>
    </row>
    <row r="4" spans="1:8">
      <c r="A4" t="s">
        <v>10</v>
      </c>
      <c r="B4">
        <v>60</v>
      </c>
      <c r="C4">
        <v>65</v>
      </c>
      <c r="D4">
        <v>70</v>
      </c>
      <c r="E4">
        <v>68</v>
      </c>
      <c r="F4">
        <f t="shared" si="0"/>
        <v>263</v>
      </c>
      <c r="G4">
        <f t="shared" si="1"/>
        <v>65.75</v>
      </c>
      <c r="H4" s="2" t="str">
        <f t="shared" si="2"/>
        <v>Failed</v>
      </c>
    </row>
    <row r="5" spans="1:8">
      <c r="A5" t="s">
        <v>11</v>
      </c>
      <c r="B5">
        <v>90</v>
      </c>
      <c r="C5">
        <v>92</v>
      </c>
      <c r="D5">
        <v>95</v>
      </c>
      <c r="E5">
        <v>94</v>
      </c>
      <c r="F5">
        <f t="shared" si="0"/>
        <v>371</v>
      </c>
      <c r="G5">
        <f t="shared" si="1"/>
        <v>92.75</v>
      </c>
      <c r="H5" s="1" t="str">
        <f t="shared" si="2"/>
        <v>Passed</v>
      </c>
    </row>
    <row r="6" spans="1:8">
      <c r="A6" t="s">
        <v>12</v>
      </c>
      <c r="B6">
        <v>72</v>
      </c>
      <c r="C6">
        <v>74</v>
      </c>
      <c r="D6">
        <v>70</v>
      </c>
      <c r="E6">
        <v>73</v>
      </c>
      <c r="F6">
        <f t="shared" si="0"/>
        <v>289</v>
      </c>
      <c r="G6">
        <f t="shared" si="1"/>
        <v>72.25</v>
      </c>
      <c r="H6" s="2" t="str">
        <f t="shared" si="2"/>
        <v>Failed</v>
      </c>
    </row>
    <row r="7" spans="1:8">
      <c r="A7" t="s">
        <v>13</v>
      </c>
      <c r="B7">
        <v>88</v>
      </c>
      <c r="C7">
        <v>85</v>
      </c>
      <c r="D7">
        <v>90</v>
      </c>
      <c r="E7">
        <v>87</v>
      </c>
      <c r="F7">
        <f t="shared" si="0"/>
        <v>350</v>
      </c>
      <c r="G7">
        <f t="shared" si="1"/>
        <v>87.5</v>
      </c>
      <c r="H7" s="1" t="str">
        <f t="shared" si="2"/>
        <v>Passed</v>
      </c>
    </row>
    <row r="8" spans="1:8">
      <c r="A8" t="s">
        <v>14</v>
      </c>
      <c r="B8">
        <v>67</v>
      </c>
      <c r="C8">
        <v>70</v>
      </c>
      <c r="D8">
        <v>65</v>
      </c>
      <c r="E8">
        <v>69</v>
      </c>
      <c r="F8">
        <f t="shared" si="0"/>
        <v>271</v>
      </c>
      <c r="G8">
        <f t="shared" si="1"/>
        <v>67.75</v>
      </c>
      <c r="H8" s="2" t="str">
        <f t="shared" si="2"/>
        <v>Failed</v>
      </c>
    </row>
    <row r="9" spans="1:8">
      <c r="A9" t="s">
        <v>15</v>
      </c>
      <c r="B9">
        <v>95</v>
      </c>
      <c r="C9">
        <v>93</v>
      </c>
      <c r="D9">
        <v>96</v>
      </c>
      <c r="E9">
        <v>94</v>
      </c>
      <c r="F9">
        <f t="shared" si="0"/>
        <v>378</v>
      </c>
      <c r="G9">
        <f t="shared" si="1"/>
        <v>94.5</v>
      </c>
      <c r="H9" s="1" t="str">
        <f t="shared" si="2"/>
        <v>Passed</v>
      </c>
    </row>
    <row r="10" spans="1:8">
      <c r="A10" t="s">
        <v>16</v>
      </c>
      <c r="B10">
        <v>80</v>
      </c>
      <c r="C10">
        <v>82</v>
      </c>
      <c r="D10">
        <v>78</v>
      </c>
      <c r="E10">
        <v>81</v>
      </c>
      <c r="F10">
        <f t="shared" si="0"/>
        <v>321</v>
      </c>
      <c r="G10">
        <f t="shared" si="1"/>
        <v>80.25</v>
      </c>
      <c r="H10" s="1" t="str">
        <f t="shared" si="2"/>
        <v>Passed</v>
      </c>
    </row>
    <row r="11" spans="1:8">
      <c r="A11" t="s">
        <v>17</v>
      </c>
      <c r="B11">
        <v>74</v>
      </c>
      <c r="C11">
        <v>76</v>
      </c>
      <c r="D11">
        <v>75</v>
      </c>
      <c r="E11">
        <v>73</v>
      </c>
      <c r="F11">
        <f t="shared" si="0"/>
        <v>298</v>
      </c>
      <c r="G11">
        <f t="shared" si="1"/>
        <v>74.5</v>
      </c>
      <c r="H11" s="2" t="str">
        <f t="shared" si="2"/>
        <v>Failed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13" workbookViewId="0">
      <selection activeCell="F23" sqref="F23"/>
    </sheetView>
  </sheetViews>
  <sheetFormatPr defaultRowHeight="15"/>
  <cols>
    <col min="1" max="1" width="50.5703125" customWidth="1"/>
    <col min="2" max="2" width="14.140625" customWidth="1"/>
    <col min="3" max="3" width="13" customWidth="1"/>
    <col min="4" max="4" width="13.140625" customWidth="1"/>
    <col min="5" max="5" width="13.7109375" customWidth="1"/>
    <col min="6" max="6" width="12" customWidth="1"/>
  </cols>
  <sheetData>
    <row r="1" spans="1:6" ht="15.75" thickBot="1">
      <c r="A1" s="4" t="s">
        <v>18</v>
      </c>
      <c r="B1" s="5"/>
      <c r="C1" s="5"/>
      <c r="D1" s="5"/>
      <c r="E1" s="5"/>
      <c r="F1" s="6"/>
    </row>
    <row r="2" spans="1:6">
      <c r="A2" s="9" t="s">
        <v>118</v>
      </c>
      <c r="B2" s="10"/>
      <c r="C2" s="10"/>
      <c r="D2" s="10"/>
      <c r="E2" s="10"/>
      <c r="F2" s="11"/>
    </row>
    <row r="3" spans="1:6">
      <c r="A3" s="12" t="s">
        <v>40</v>
      </c>
      <c r="B3" s="13" t="s">
        <v>41</v>
      </c>
      <c r="C3" s="13" t="s">
        <v>42</v>
      </c>
      <c r="D3" s="13" t="s">
        <v>43</v>
      </c>
      <c r="E3" s="13" t="s">
        <v>44</v>
      </c>
      <c r="F3" s="12" t="s">
        <v>117</v>
      </c>
    </row>
    <row r="4" spans="1:6">
      <c r="A4" s="8" t="s">
        <v>19</v>
      </c>
      <c r="B4" s="7" t="s">
        <v>45</v>
      </c>
      <c r="C4" s="7" t="s">
        <v>46</v>
      </c>
      <c r="D4" s="7" t="s">
        <v>20</v>
      </c>
      <c r="E4" s="7" t="s">
        <v>21</v>
      </c>
      <c r="F4" s="26"/>
    </row>
    <row r="5" spans="1:6" ht="30">
      <c r="A5" s="8" t="s">
        <v>47</v>
      </c>
      <c r="B5" s="7" t="s">
        <v>48</v>
      </c>
      <c r="C5" s="7" t="s">
        <v>49</v>
      </c>
      <c r="D5" s="7" t="s">
        <v>50</v>
      </c>
      <c r="E5" s="7" t="s">
        <v>24</v>
      </c>
      <c r="F5" s="26"/>
    </row>
    <row r="6" spans="1:6" ht="30">
      <c r="A6" s="8" t="s">
        <v>22</v>
      </c>
      <c r="B6" s="7" t="s">
        <v>25</v>
      </c>
      <c r="C6" s="7" t="s">
        <v>26</v>
      </c>
      <c r="D6" s="7" t="s">
        <v>27</v>
      </c>
      <c r="E6" s="7" t="s">
        <v>28</v>
      </c>
      <c r="F6" s="26"/>
    </row>
    <row r="7" spans="1:6" ht="30">
      <c r="A7" s="8" t="s">
        <v>51</v>
      </c>
      <c r="B7" s="7" t="s">
        <v>29</v>
      </c>
      <c r="C7" s="7" t="s">
        <v>30</v>
      </c>
      <c r="D7" s="7" t="s">
        <v>31</v>
      </c>
      <c r="E7" s="7" t="s">
        <v>32</v>
      </c>
      <c r="F7" s="26"/>
    </row>
    <row r="8" spans="1:6">
      <c r="A8" s="8" t="s">
        <v>23</v>
      </c>
      <c r="B8" s="7" t="s">
        <v>33</v>
      </c>
      <c r="C8" s="7" t="s">
        <v>34</v>
      </c>
      <c r="D8" s="7" t="s">
        <v>35</v>
      </c>
      <c r="E8" s="7" t="s">
        <v>36</v>
      </c>
      <c r="F8" s="26"/>
    </row>
    <row r="9" spans="1:6" ht="30">
      <c r="A9" s="8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26"/>
    </row>
    <row r="10" spans="1:6">
      <c r="A10" s="8" t="s">
        <v>37</v>
      </c>
      <c r="B10" s="7" t="s">
        <v>57</v>
      </c>
      <c r="C10" s="7" t="s">
        <v>58</v>
      </c>
      <c r="D10" s="7" t="s">
        <v>59</v>
      </c>
      <c r="E10" s="7" t="s">
        <v>53</v>
      </c>
      <c r="F10" s="26"/>
    </row>
    <row r="11" spans="1:6">
      <c r="A11" s="8" t="s">
        <v>38</v>
      </c>
      <c r="B11" s="7" t="s">
        <v>60</v>
      </c>
      <c r="C11" s="7" t="s">
        <v>61</v>
      </c>
      <c r="D11" s="7" t="s">
        <v>62</v>
      </c>
      <c r="E11" s="7" t="s">
        <v>63</v>
      </c>
      <c r="F11" s="26"/>
    </row>
    <row r="12" spans="1:6" ht="30">
      <c r="A12" s="8" t="s">
        <v>39</v>
      </c>
      <c r="B12" s="7" t="s">
        <v>64</v>
      </c>
      <c r="C12" s="7" t="s">
        <v>65</v>
      </c>
      <c r="D12" s="7" t="s">
        <v>66</v>
      </c>
      <c r="E12" s="7" t="s">
        <v>67</v>
      </c>
      <c r="F12" s="26"/>
    </row>
    <row r="13" spans="1:6" ht="30">
      <c r="A13" s="8" t="s">
        <v>68</v>
      </c>
      <c r="B13" s="7" t="s">
        <v>69</v>
      </c>
      <c r="C13" s="7" t="s">
        <v>70</v>
      </c>
      <c r="D13" s="7" t="s">
        <v>46</v>
      </c>
      <c r="E13" s="7" t="s">
        <v>71</v>
      </c>
      <c r="F13" s="26"/>
    </row>
    <row r="14" spans="1:6">
      <c r="A14" s="8" t="s">
        <v>72</v>
      </c>
      <c r="B14" s="7" t="s">
        <v>73</v>
      </c>
      <c r="C14" s="7" t="s">
        <v>74</v>
      </c>
      <c r="D14" s="7" t="s">
        <v>75</v>
      </c>
      <c r="E14" s="7" t="s">
        <v>76</v>
      </c>
      <c r="F14" s="26"/>
    </row>
    <row r="15" spans="1:6" ht="30">
      <c r="A15" s="8" t="s">
        <v>77</v>
      </c>
      <c r="B15" s="7" t="s">
        <v>78</v>
      </c>
      <c r="C15" s="7" t="s">
        <v>79</v>
      </c>
      <c r="D15" s="7" t="s">
        <v>80</v>
      </c>
      <c r="E15" s="7" t="s">
        <v>81</v>
      </c>
      <c r="F15" s="26"/>
    </row>
    <row r="16" spans="1:6" ht="30">
      <c r="A16" s="8" t="s">
        <v>82</v>
      </c>
      <c r="B16" s="7" t="s">
        <v>83</v>
      </c>
      <c r="C16" s="7" t="s">
        <v>84</v>
      </c>
      <c r="D16" s="7" t="s">
        <v>85</v>
      </c>
      <c r="E16" s="7" t="s">
        <v>86</v>
      </c>
      <c r="F16" s="26"/>
    </row>
    <row r="17" spans="1:6">
      <c r="A17" s="8" t="s">
        <v>87</v>
      </c>
      <c r="B17" s="7" t="s">
        <v>88</v>
      </c>
      <c r="C17" s="7" t="s">
        <v>89</v>
      </c>
      <c r="D17" s="7" t="s">
        <v>90</v>
      </c>
      <c r="E17" s="7" t="s">
        <v>91</v>
      </c>
      <c r="F17" s="26"/>
    </row>
    <row r="18" spans="1:6" ht="30">
      <c r="A18" s="8" t="s">
        <v>92</v>
      </c>
      <c r="B18" s="7" t="s">
        <v>93</v>
      </c>
      <c r="C18" s="7" t="s">
        <v>29</v>
      </c>
      <c r="D18" s="7" t="s">
        <v>94</v>
      </c>
      <c r="E18" s="7" t="s">
        <v>95</v>
      </c>
      <c r="F18" s="26"/>
    </row>
    <row r="19" spans="1:6">
      <c r="A19" s="8" t="s">
        <v>96</v>
      </c>
      <c r="B19" s="7" t="s">
        <v>25</v>
      </c>
      <c r="C19" s="7" t="s">
        <v>97</v>
      </c>
      <c r="D19" s="7" t="s">
        <v>98</v>
      </c>
      <c r="E19" s="7" t="s">
        <v>99</v>
      </c>
      <c r="F19" s="26"/>
    </row>
    <row r="20" spans="1:6" ht="30">
      <c r="A20" s="8" t="s">
        <v>100</v>
      </c>
      <c r="B20" s="7" t="s">
        <v>101</v>
      </c>
      <c r="C20" s="7" t="s">
        <v>102</v>
      </c>
      <c r="D20" s="7" t="s">
        <v>103</v>
      </c>
      <c r="E20" s="7" t="s">
        <v>25</v>
      </c>
      <c r="F20" s="26"/>
    </row>
    <row r="21" spans="1:6" ht="30">
      <c r="A21" s="8" t="s">
        <v>104</v>
      </c>
      <c r="B21" s="7" t="s">
        <v>53</v>
      </c>
      <c r="C21" s="7" t="s">
        <v>105</v>
      </c>
      <c r="D21" s="7" t="s">
        <v>106</v>
      </c>
      <c r="E21" s="7" t="s">
        <v>54</v>
      </c>
      <c r="F21" s="26"/>
    </row>
    <row r="22" spans="1:6">
      <c r="A22" s="8" t="s">
        <v>107</v>
      </c>
      <c r="B22" s="7" t="s">
        <v>108</v>
      </c>
      <c r="C22" s="7" t="s">
        <v>109</v>
      </c>
      <c r="D22" s="7" t="s">
        <v>110</v>
      </c>
      <c r="E22" s="7" t="s">
        <v>111</v>
      </c>
      <c r="F22" s="26"/>
    </row>
    <row r="23" spans="1:6">
      <c r="A23" s="8" t="s">
        <v>112</v>
      </c>
      <c r="B23" s="7" t="s">
        <v>113</v>
      </c>
      <c r="C23" s="7" t="s">
        <v>114</v>
      </c>
      <c r="D23" s="7" t="s">
        <v>115</v>
      </c>
      <c r="E23" s="7" t="s">
        <v>116</v>
      </c>
      <c r="F23" s="26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16" workbookViewId="0">
      <selection activeCell="F5" sqref="F5"/>
    </sheetView>
  </sheetViews>
  <sheetFormatPr defaultColWidth="9.140625" defaultRowHeight="15"/>
  <cols>
    <col min="1" max="1" width="38.5703125" customWidth="1"/>
    <col min="2" max="2" width="14.5703125" customWidth="1"/>
    <col min="3" max="3" width="15.42578125" customWidth="1"/>
    <col min="4" max="4" width="13.85546875" customWidth="1"/>
    <col min="5" max="5" width="15.5703125" customWidth="1"/>
  </cols>
  <sheetData>
    <row r="1" spans="1:10">
      <c r="A1" s="19" t="s">
        <v>18</v>
      </c>
      <c r="B1" s="19"/>
      <c r="C1" s="19"/>
      <c r="D1" s="19"/>
      <c r="E1" s="19"/>
      <c r="F1" s="19"/>
      <c r="G1" s="23" t="s">
        <v>119</v>
      </c>
      <c r="H1" s="23"/>
      <c r="I1" s="19" t="s">
        <v>120</v>
      </c>
      <c r="J1" s="19"/>
    </row>
    <row r="2" spans="1:10">
      <c r="A2" s="20" t="str">
        <f>Quiz!A2</f>
        <v xml:space="preserve">NAME: </v>
      </c>
      <c r="B2" s="20"/>
      <c r="C2" s="20"/>
      <c r="D2" s="20"/>
      <c r="E2" s="20"/>
      <c r="F2" s="20"/>
      <c r="G2" s="24">
        <f>COUNTIF(G4:G23,"1")</f>
        <v>0</v>
      </c>
      <c r="H2" s="24"/>
      <c r="I2" s="25">
        <f>G2/20</f>
        <v>0</v>
      </c>
      <c r="J2" s="25"/>
    </row>
    <row r="3" spans="1:10">
      <c r="A3" s="21" t="s">
        <v>40</v>
      </c>
      <c r="B3" s="21" t="s">
        <v>41</v>
      </c>
      <c r="C3" s="21" t="s">
        <v>42</v>
      </c>
      <c r="D3" s="21" t="s">
        <v>43</v>
      </c>
      <c r="E3" s="21" t="s">
        <v>44</v>
      </c>
      <c r="F3" s="22" t="s">
        <v>117</v>
      </c>
      <c r="G3" s="24"/>
      <c r="H3" s="24"/>
      <c r="I3" s="25"/>
      <c r="J3" s="25"/>
    </row>
    <row r="4" spans="1:10">
      <c r="A4" s="14" t="s">
        <v>19</v>
      </c>
      <c r="B4" s="3" t="s">
        <v>45</v>
      </c>
      <c r="C4" s="3" t="s">
        <v>46</v>
      </c>
      <c r="D4" s="3" t="s">
        <v>20</v>
      </c>
      <c r="E4" s="3" t="s">
        <v>21</v>
      </c>
      <c r="F4" s="15">
        <f>Quiz!F4</f>
        <v>0</v>
      </c>
      <c r="G4" s="17" t="str">
        <f>IF(Quiz!F4="C","1","0")</f>
        <v>0</v>
      </c>
      <c r="H4" s="16"/>
    </row>
    <row r="5" spans="1:10" ht="30">
      <c r="A5" s="14" t="s">
        <v>47</v>
      </c>
      <c r="B5" s="3" t="s">
        <v>48</v>
      </c>
      <c r="C5" s="3" t="s">
        <v>49</v>
      </c>
      <c r="D5" s="3" t="s">
        <v>50</v>
      </c>
      <c r="E5" s="3" t="s">
        <v>24</v>
      </c>
      <c r="F5" s="15">
        <f>Quiz!F5</f>
        <v>0</v>
      </c>
      <c r="G5" s="18" t="str">
        <f>IF(Quiz!F5="B","1","0")</f>
        <v>0</v>
      </c>
    </row>
    <row r="6" spans="1:10" ht="30">
      <c r="A6" s="14" t="s">
        <v>22</v>
      </c>
      <c r="B6" s="3" t="s">
        <v>25</v>
      </c>
      <c r="C6" s="3" t="s">
        <v>26</v>
      </c>
      <c r="D6" s="3" t="s">
        <v>27</v>
      </c>
      <c r="E6" s="3" t="s">
        <v>28</v>
      </c>
      <c r="F6" s="15">
        <f>Quiz!F6</f>
        <v>0</v>
      </c>
      <c r="G6" s="18" t="str">
        <f>IF(Quiz!F6="C","1","0")</f>
        <v>0</v>
      </c>
    </row>
    <row r="7" spans="1:10" ht="30">
      <c r="A7" s="14" t="s">
        <v>51</v>
      </c>
      <c r="B7" s="3" t="s">
        <v>29</v>
      </c>
      <c r="C7" s="3" t="s">
        <v>30</v>
      </c>
      <c r="D7" s="3" t="s">
        <v>31</v>
      </c>
      <c r="E7" s="3" t="s">
        <v>32</v>
      </c>
      <c r="F7" s="15">
        <f>Quiz!F7</f>
        <v>0</v>
      </c>
      <c r="G7" s="18" t="str">
        <f>IF(Quiz!F7="B","1","0")</f>
        <v>0</v>
      </c>
    </row>
    <row r="8" spans="1:10" ht="30">
      <c r="A8" s="14" t="s">
        <v>23</v>
      </c>
      <c r="B8" s="3" t="s">
        <v>33</v>
      </c>
      <c r="C8" s="3" t="s">
        <v>34</v>
      </c>
      <c r="D8" s="3" t="s">
        <v>35</v>
      </c>
      <c r="E8" s="3" t="s">
        <v>36</v>
      </c>
      <c r="F8" s="15">
        <f>Quiz!F8</f>
        <v>0</v>
      </c>
      <c r="G8" s="18" t="str">
        <f>IF(Quiz!F8="C","1","0")</f>
        <v>0</v>
      </c>
    </row>
    <row r="9" spans="1:10" ht="30">
      <c r="A9" s="14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15">
        <f>Quiz!F9</f>
        <v>0</v>
      </c>
      <c r="G9" s="18" t="str">
        <f>IF(Quiz!F9="C","1","0")</f>
        <v>0</v>
      </c>
    </row>
    <row r="10" spans="1:10" ht="30">
      <c r="A10" s="14" t="s">
        <v>37</v>
      </c>
      <c r="B10" s="3" t="s">
        <v>57</v>
      </c>
      <c r="C10" s="3" t="s">
        <v>58</v>
      </c>
      <c r="D10" s="3" t="s">
        <v>59</v>
      </c>
      <c r="E10" s="3" t="s">
        <v>53</v>
      </c>
      <c r="F10" s="15">
        <f>Quiz!F10</f>
        <v>0</v>
      </c>
      <c r="G10" s="18" t="str">
        <f>IF(Quiz!F10="C","1","0")</f>
        <v>0</v>
      </c>
    </row>
    <row r="11" spans="1:10" ht="30">
      <c r="A11" s="14" t="s">
        <v>38</v>
      </c>
      <c r="B11" s="3" t="s">
        <v>60</v>
      </c>
      <c r="C11" s="3" t="s">
        <v>61</v>
      </c>
      <c r="D11" s="3" t="s">
        <v>62</v>
      </c>
      <c r="E11" s="3" t="s">
        <v>63</v>
      </c>
      <c r="F11" s="15">
        <f>Quiz!F11</f>
        <v>0</v>
      </c>
      <c r="G11" s="18" t="str">
        <f>IF(Quiz!F11="B","1","0")</f>
        <v>0</v>
      </c>
    </row>
    <row r="12" spans="1:10" ht="30">
      <c r="A12" s="14" t="s">
        <v>39</v>
      </c>
      <c r="B12" s="3" t="s">
        <v>64</v>
      </c>
      <c r="C12" s="3" t="s">
        <v>65</v>
      </c>
      <c r="D12" s="3" t="s">
        <v>66</v>
      </c>
      <c r="E12" s="3" t="s">
        <v>67</v>
      </c>
      <c r="F12" s="15">
        <f>Quiz!F12</f>
        <v>0</v>
      </c>
      <c r="G12" s="18" t="str">
        <f>IF(Quiz!F12="C","1","0")</f>
        <v>0</v>
      </c>
    </row>
    <row r="13" spans="1:10" ht="30">
      <c r="A13" s="14" t="s">
        <v>68</v>
      </c>
      <c r="B13" s="3" t="s">
        <v>69</v>
      </c>
      <c r="C13" s="3" t="s">
        <v>70</v>
      </c>
      <c r="D13" s="3" t="s">
        <v>46</v>
      </c>
      <c r="E13" s="3" t="s">
        <v>71</v>
      </c>
      <c r="F13" s="15">
        <f>Quiz!F13</f>
        <v>0</v>
      </c>
      <c r="G13" s="18" t="str">
        <f>IF(Quiz!F13="C","1","0")</f>
        <v>0</v>
      </c>
    </row>
    <row r="14" spans="1:10">
      <c r="A14" s="14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15">
        <f>Quiz!F14</f>
        <v>0</v>
      </c>
      <c r="G14" s="18" t="str">
        <f>IF(Quiz!F14="B","1","0")</f>
        <v>0</v>
      </c>
    </row>
    <row r="15" spans="1:10" ht="30">
      <c r="A15" s="14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15">
        <f>Quiz!F15</f>
        <v>0</v>
      </c>
      <c r="G15" s="18" t="str">
        <f>IF(Quiz!F15="C","1","0")</f>
        <v>0</v>
      </c>
    </row>
    <row r="16" spans="1:10" ht="30">
      <c r="A16" s="14" t="s">
        <v>82</v>
      </c>
      <c r="B16" s="3" t="s">
        <v>83</v>
      </c>
      <c r="C16" s="3" t="s">
        <v>84</v>
      </c>
      <c r="D16" s="3" t="s">
        <v>85</v>
      </c>
      <c r="E16" s="3" t="s">
        <v>86</v>
      </c>
      <c r="F16" s="15">
        <f>Quiz!F16</f>
        <v>0</v>
      </c>
      <c r="G16" s="18" t="str">
        <f>IF(Quiz!F16="C","1","0")</f>
        <v>0</v>
      </c>
    </row>
    <row r="17" spans="1:7" ht="30">
      <c r="A17" s="14" t="s">
        <v>87</v>
      </c>
      <c r="B17" s="3" t="s">
        <v>88</v>
      </c>
      <c r="C17" s="3" t="s">
        <v>89</v>
      </c>
      <c r="D17" s="3" t="s">
        <v>90</v>
      </c>
      <c r="E17" s="3" t="s">
        <v>91</v>
      </c>
      <c r="F17" s="15">
        <f>Quiz!F17</f>
        <v>0</v>
      </c>
      <c r="G17" s="18" t="str">
        <f>IF(Quiz!F17="B","1","0")</f>
        <v>0</v>
      </c>
    </row>
    <row r="18" spans="1:7" ht="30">
      <c r="A18" s="14" t="s">
        <v>92</v>
      </c>
      <c r="B18" s="3" t="s">
        <v>93</v>
      </c>
      <c r="C18" s="3" t="s">
        <v>29</v>
      </c>
      <c r="D18" s="3" t="s">
        <v>94</v>
      </c>
      <c r="E18" s="3" t="s">
        <v>95</v>
      </c>
      <c r="F18" s="15">
        <f>Quiz!F18</f>
        <v>0</v>
      </c>
      <c r="G18" s="18" t="str">
        <f>IF(Quiz!F18="C","1","0")</f>
        <v>0</v>
      </c>
    </row>
    <row r="19" spans="1:7">
      <c r="A19" s="14" t="s">
        <v>96</v>
      </c>
      <c r="B19" s="3" t="s">
        <v>25</v>
      </c>
      <c r="C19" s="3" t="s">
        <v>97</v>
      </c>
      <c r="D19" s="3" t="s">
        <v>98</v>
      </c>
      <c r="E19" s="3" t="s">
        <v>99</v>
      </c>
      <c r="F19" s="15">
        <f>Quiz!F19</f>
        <v>0</v>
      </c>
      <c r="G19" s="18" t="str">
        <f>IF(Quiz!F19="C","1","0")</f>
        <v>0</v>
      </c>
    </row>
    <row r="20" spans="1:7" ht="30">
      <c r="A20" s="14" t="s">
        <v>100</v>
      </c>
      <c r="B20" s="3" t="s">
        <v>101</v>
      </c>
      <c r="C20" s="3" t="s">
        <v>102</v>
      </c>
      <c r="D20" s="3" t="s">
        <v>103</v>
      </c>
      <c r="E20" s="3" t="s">
        <v>25</v>
      </c>
      <c r="F20" s="15">
        <f>Quiz!F20</f>
        <v>0</v>
      </c>
      <c r="G20" s="18" t="str">
        <f>IF(Quiz!F20="C","1","0")</f>
        <v>0</v>
      </c>
    </row>
    <row r="21" spans="1:7" ht="30">
      <c r="A21" s="14" t="s">
        <v>104</v>
      </c>
      <c r="B21" s="3" t="s">
        <v>53</v>
      </c>
      <c r="C21" s="3" t="s">
        <v>105</v>
      </c>
      <c r="D21" s="3" t="s">
        <v>106</v>
      </c>
      <c r="E21" s="3" t="s">
        <v>54</v>
      </c>
      <c r="F21" s="15">
        <f>Quiz!F21</f>
        <v>0</v>
      </c>
      <c r="G21" s="18" t="str">
        <f>IF(Quiz!F21="C","1","0")</f>
        <v>0</v>
      </c>
    </row>
    <row r="22" spans="1:7" ht="30">
      <c r="A22" s="14" t="s">
        <v>107</v>
      </c>
      <c r="B22" s="3" t="s">
        <v>108</v>
      </c>
      <c r="C22" s="3" t="s">
        <v>109</v>
      </c>
      <c r="D22" s="3" t="s">
        <v>110</v>
      </c>
      <c r="E22" s="3" t="s">
        <v>111</v>
      </c>
      <c r="F22" s="15">
        <f>Quiz!F22</f>
        <v>0</v>
      </c>
      <c r="G22" s="18" t="str">
        <f>IF(Quiz!F22="C","1","0")</f>
        <v>0</v>
      </c>
    </row>
    <row r="23" spans="1:7">
      <c r="A23" s="14" t="s">
        <v>112</v>
      </c>
      <c r="B23" s="3" t="s">
        <v>113</v>
      </c>
      <c r="C23" s="3" t="s">
        <v>114</v>
      </c>
      <c r="D23" s="3" t="s">
        <v>115</v>
      </c>
      <c r="E23" s="3" t="s">
        <v>116</v>
      </c>
      <c r="F23" s="15">
        <f>Quiz!F23</f>
        <v>0</v>
      </c>
      <c r="G23" s="18" t="str">
        <f>IF(Quiz!F23="C","1","0")</f>
        <v>0</v>
      </c>
    </row>
  </sheetData>
  <mergeCells count="6">
    <mergeCell ref="I1:J1"/>
    <mergeCell ref="I2:J3"/>
    <mergeCell ref="A1:F1"/>
    <mergeCell ref="A2:F2"/>
    <mergeCell ref="G1:H1"/>
    <mergeCell ref="G2:H3"/>
  </mergeCells>
  <conditionalFormatting sqref="F4">
    <cfRule type="expression" dxfId="23" priority="25">
      <formula>$F$4="C"</formula>
    </cfRule>
  </conditionalFormatting>
  <conditionalFormatting sqref="F5">
    <cfRule type="expression" dxfId="20" priority="23">
      <formula>$F$5="B"</formula>
    </cfRule>
  </conditionalFormatting>
  <conditionalFormatting sqref="F6">
    <cfRule type="expression" dxfId="19" priority="22">
      <formula>$F$6="C"</formula>
    </cfRule>
  </conditionalFormatting>
  <conditionalFormatting sqref="F7">
    <cfRule type="expression" dxfId="18" priority="21">
      <formula>$F$7="B"</formula>
    </cfRule>
  </conditionalFormatting>
  <conditionalFormatting sqref="F8">
    <cfRule type="expression" dxfId="17" priority="20">
      <formula>$F$8="C"</formula>
    </cfRule>
  </conditionalFormatting>
  <conditionalFormatting sqref="F9">
    <cfRule type="expression" dxfId="16" priority="19">
      <formula>$F$9="C"</formula>
    </cfRule>
  </conditionalFormatting>
  <conditionalFormatting sqref="F10">
    <cfRule type="expression" dxfId="15" priority="18">
      <formula>$F$10="C"</formula>
    </cfRule>
  </conditionalFormatting>
  <conditionalFormatting sqref="F11">
    <cfRule type="expression" dxfId="14" priority="17">
      <formula>$F$11="B"</formula>
    </cfRule>
  </conditionalFormatting>
  <conditionalFormatting sqref="F12">
    <cfRule type="expression" priority="16">
      <formula>$F$12</formula>
    </cfRule>
    <cfRule type="expression" dxfId="13" priority="15">
      <formula>$F$12="C"</formula>
    </cfRule>
  </conditionalFormatting>
  <conditionalFormatting sqref="F13">
    <cfRule type="expression" dxfId="12" priority="14">
      <formula>$F$13</formula>
    </cfRule>
    <cfRule type="expression" dxfId="11" priority="12">
      <formula>$F$13="C"</formula>
    </cfRule>
  </conditionalFormatting>
  <conditionalFormatting sqref="F14">
    <cfRule type="expression" dxfId="9" priority="11">
      <formula>$F$14="B"</formula>
    </cfRule>
  </conditionalFormatting>
  <conditionalFormatting sqref="F15">
    <cfRule type="expression" dxfId="8" priority="10">
      <formula>$F$15="C"</formula>
    </cfRule>
  </conditionalFormatting>
  <conditionalFormatting sqref="F16">
    <cfRule type="expression" dxfId="7" priority="9">
      <formula>$F$16="C"</formula>
    </cfRule>
  </conditionalFormatting>
  <conditionalFormatting sqref="F17">
    <cfRule type="expression" dxfId="6" priority="8">
      <formula>$F$17="B"</formula>
    </cfRule>
  </conditionalFormatting>
  <conditionalFormatting sqref="F18">
    <cfRule type="expression" dxfId="5" priority="7">
      <formula>$F$18="C"</formula>
    </cfRule>
  </conditionalFormatting>
  <conditionalFormatting sqref="F19">
    <cfRule type="expression" dxfId="4" priority="5">
      <formula>$F$19="C"</formula>
    </cfRule>
  </conditionalFormatting>
  <conditionalFormatting sqref="F20">
    <cfRule type="expression" dxfId="3" priority="4">
      <formula>$F$20="C"</formula>
    </cfRule>
  </conditionalFormatting>
  <conditionalFormatting sqref="F21">
    <cfRule type="expression" dxfId="2" priority="3">
      <formula>$F$21="C"</formula>
    </cfRule>
  </conditionalFormatting>
  <conditionalFormatting sqref="F22">
    <cfRule type="expression" dxfId="1" priority="2">
      <formula>$F$22="C"</formula>
    </cfRule>
  </conditionalFormatting>
  <conditionalFormatting sqref="F23">
    <cfRule type="expression" dxfId="0" priority="1">
      <formula>$F$23="C"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Grading System</vt:lpstr>
      <vt:lpstr>Quiz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Alexis Ann</cp:lastModifiedBy>
  <dcterms:created xsi:type="dcterms:W3CDTF">2026-04-24T07:06:00Z</dcterms:created>
  <dcterms:modified xsi:type="dcterms:W3CDTF">2026-04-28T03:56:41Z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AF83F9F78FBE49B6A2141C52A7267C22_12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